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ocuments\UNT\Languages\Project1\Sorting-with-Pydictions\output_data\"/>
    </mc:Choice>
  </mc:AlternateContent>
  <xr:revisionPtr revIDLastSave="0" documentId="13_ncr:1_{D76ADA97-F5CC-4CA4-808A-EA1EC899F490}" xr6:coauthVersionLast="47" xr6:coauthVersionMax="47" xr10:uidLastSave="{00000000-0000-0000-0000-000000000000}"/>
  <bookViews>
    <workbookView xWindow="-110" yWindow="-110" windowWidth="25820" windowHeight="15500" xr2:uid="{BC6FB038-EEA1-497D-8B79-C6CCED0A9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4" i="1"/>
  <c r="E5" i="1"/>
  <c r="E6" i="1"/>
  <c r="E2" i="1"/>
  <c r="E3" i="1"/>
</calcChain>
</file>

<file path=xl/sharedStrings.xml><?xml version="1.0" encoding="utf-8"?>
<sst xmlns="http://schemas.openxmlformats.org/spreadsheetml/2006/main" count="10" uniqueCount="9">
  <si>
    <t>Test with …</t>
  </si>
  <si>
    <t>Error</t>
  </si>
  <si>
    <t>time</t>
  </si>
  <si>
    <t>StepsTimeRaw</t>
  </si>
  <si>
    <t>Average Steps Time</t>
  </si>
  <si>
    <t>Python Time</t>
  </si>
  <si>
    <t>x faster</t>
  </si>
  <si>
    <t>py avg</t>
  </si>
  <si>
    <t>cpp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</si>
</sst>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Python DirtyClean</a:t>
            </a:r>
            <a:r>
              <a:rPr lang="en-US" baseline="0"/>
              <a:t> </a:t>
            </a:r>
            <a:r>
              <a:rPr lang="en-US"/>
              <a:t>Good-dominating</a:t>
            </a:r>
          </a:p>
        </c:rich>
      </c:tx>
      <c:layout>
        <c:manualLayout>
          <c:xMode val="edge"/>
          <c:yMode val="edge"/>
          <c:x val="0.22964294283159203"/>
          <c:y val="2.7777951428024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Sheet1!$F$2:$F$22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Sheet1!$G$2:$G$22</c:f>
              <c:numCache>
                <c:formatCode>General</c:formatCode>
                <c:ptCount val="21"/>
                <c:pt idx="0">
                  <c:v>51.188899999999997</c:v>
                </c:pt>
                <c:pt idx="1">
                  <c:v>53.450899999999997</c:v>
                </c:pt>
                <c:pt idx="2">
                  <c:v>53.370800000000003</c:v>
                </c:pt>
                <c:pt idx="3">
                  <c:v>55.534599999999998</c:v>
                </c:pt>
                <c:pt idx="4">
                  <c:v>56.414000000000001</c:v>
                </c:pt>
                <c:pt idx="5">
                  <c:v>58.21</c:v>
                </c:pt>
                <c:pt idx="6">
                  <c:v>60.831000000000003</c:v>
                </c:pt>
                <c:pt idx="7">
                  <c:v>59.826599999999999</c:v>
                </c:pt>
                <c:pt idx="8">
                  <c:v>61.669800000000002</c:v>
                </c:pt>
                <c:pt idx="9">
                  <c:v>64.397300000000001</c:v>
                </c:pt>
                <c:pt idx="10">
                  <c:v>67.211299999999994</c:v>
                </c:pt>
                <c:pt idx="11">
                  <c:v>70.809700000000007</c:v>
                </c:pt>
                <c:pt idx="12">
                  <c:v>73.207599999999999</c:v>
                </c:pt>
                <c:pt idx="13">
                  <c:v>76.465100000000007</c:v>
                </c:pt>
                <c:pt idx="14">
                  <c:v>79.443399999999997</c:v>
                </c:pt>
                <c:pt idx="15">
                  <c:v>82.749200000000002</c:v>
                </c:pt>
                <c:pt idx="16">
                  <c:v>86.240499999999997</c:v>
                </c:pt>
                <c:pt idx="17">
                  <c:v>90.632199999999997</c:v>
                </c:pt>
                <c:pt idx="18">
                  <c:v>95.146600000000007</c:v>
                </c:pt>
                <c:pt idx="19">
                  <c:v>99.825500000000005</c:v>
                </c:pt>
                <c:pt idx="20">
                  <c:v>102.52889999999999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8-4EF3-895F-B0D3380C8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948864"/>
        <c:axId val="1677945984"/>
      </c:scatterChart>
      <c:valAx>
        <c:axId val="167794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45984"/>
        <c:crosses val="autoZero"/>
        <c:crossBetween val="midCat"/>
      </c:valAx>
      <c:valAx>
        <c:axId val="167794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4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C++ DirtyClean Good-dominating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Sheet1!$B$2:$B$22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Sheet1!$C$2:$C$22</c:f>
              <c:numCache>
                <c:formatCode>General</c:formatCode>
                <c:ptCount val="21"/>
                <c:pt idx="0">
                  <c:v>1.1140000000000001</c:v>
                </c:pt>
                <c:pt idx="1">
                  <c:v>0.93400000000000005</c:v>
                </c:pt>
                <c:pt idx="2">
                  <c:v>0.92100000000000004</c:v>
                </c:pt>
                <c:pt idx="3">
                  <c:v>0.97699999999999998</c:v>
                </c:pt>
                <c:pt idx="4">
                  <c:v>1.002</c:v>
                </c:pt>
                <c:pt idx="5">
                  <c:v>1.0509999999999999</c:v>
                </c:pt>
                <c:pt idx="6">
                  <c:v>1.105</c:v>
                </c:pt>
                <c:pt idx="7">
                  <c:v>1.165</c:v>
                </c:pt>
                <c:pt idx="8">
                  <c:v>1.228</c:v>
                </c:pt>
                <c:pt idx="9">
                  <c:v>1.3049999999999999</c:v>
                </c:pt>
                <c:pt idx="10">
                  <c:v>1.3660000000000001</c:v>
                </c:pt>
                <c:pt idx="11">
                  <c:v>1.4350000000000001</c:v>
                </c:pt>
                <c:pt idx="12">
                  <c:v>1.5029999999999999</c:v>
                </c:pt>
                <c:pt idx="13">
                  <c:v>1.587</c:v>
                </c:pt>
                <c:pt idx="14">
                  <c:v>1.6220000000000001</c:v>
                </c:pt>
                <c:pt idx="15">
                  <c:v>1.7</c:v>
                </c:pt>
                <c:pt idx="16">
                  <c:v>1.772</c:v>
                </c:pt>
                <c:pt idx="17">
                  <c:v>1.839</c:v>
                </c:pt>
                <c:pt idx="18">
                  <c:v>1.929</c:v>
                </c:pt>
                <c:pt idx="19">
                  <c:v>2.008</c:v>
                </c:pt>
                <c:pt idx="20">
                  <c:v>2.08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6C-4B2A-9919-CB21725C6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967584"/>
        <c:axId val="1677971424"/>
      </c:scatterChart>
      <c:valAx>
        <c:axId val="167796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71424"/>
        <c:crosses val="autoZero"/>
        <c:crossBetween val="midCat"/>
      </c:valAx>
      <c:valAx>
        <c:axId val="167797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6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511175</xdr:colOff>
      <xdr:row>3</xdr:row>
      <xdr:rowOff>165100</xdr:rowOff>
    </xdr:from>
    <xdr:to>
      <xdr:col>16</xdr:col>
      <xdr:colOff>206375</xdr:colOff>
      <xdr:row>18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B8C65C-2032-9A82-F3FC-69BFE387B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523875</xdr:colOff>
      <xdr:row>18</xdr:row>
      <xdr:rowOff>171450</xdr:rowOff>
    </xdr:from>
    <xdr:to>
      <xdr:col>16</xdr:col>
      <xdr:colOff>219075</xdr:colOff>
      <xdr:row>33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33EAEE-4171-7D76-323E-BC2EDA45F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C1D1-B507-4626-9B8B-DE87C86EAF0C}">
  <dimension ref="A1:T106"/>
  <sheetViews>
    <sheetView tabSelected="1" zoomScale="85" zoomScaleNormal="85" workbookViewId="0">
      <selection activeCell="H7" sqref="H7"/>
    </sheetView>
  </sheetViews>
  <sheetFormatPr defaultRowHeight="14.5" x14ac:dyDescent="0.35"/>
  <cols>
    <col min="3" max="3" width="8.7265625" customWidth="1"/>
    <col min="5" max="5" width="8.816406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1</v>
      </c>
      <c r="E1" t="s">
        <v>4</v>
      </c>
      <c r="G1" t="s">
        <v>5</v>
      </c>
      <c r="H1" t="s">
        <v>7</v>
      </c>
      <c r="I1" t="s">
        <v>8</v>
      </c>
      <c r="J1" t="s">
        <v>6</v>
      </c>
      <c r="T1" t="s">
        <v>3</v>
      </c>
    </row>
    <row r="2" spans="1:20" x14ac:dyDescent="0.35">
      <c r="B2">
        <v>0</v>
      </c>
      <c r="C2">
        <v>1.1140000000000001</v>
      </c>
      <c r="D2">
        <v>0</v>
      </c>
      <c r="E2">
        <f>AVERAGE(INDEX(T:T,ROW()*5-8):INDEX(T:T,ROW()*5-4))</f>
        <v>0.10979999999999998</v>
      </c>
      <c r="F2">
        <v>0</v>
      </c>
      <c r="G2">
        <v>51.188899999999997</v>
      </c>
      <c r="H2">
        <f>AVERAGE(G2:G22)</f>
        <v>71.388280952380953</v>
      </c>
      <c r="I2">
        <f>AVERAGE(C2:C22)</f>
        <v>1.4115714285714283</v>
      </c>
      <c r="J2">
        <f>H2/I2</f>
        <v>50.573622777721567</v>
      </c>
      <c r="T2">
        <v>0.11</v>
      </c>
    </row>
    <row r="3" spans="1:20" x14ac:dyDescent="0.35">
      <c r="B3">
        <v>0.05</v>
      </c>
      <c r="C3">
        <v>0.93400000000000005</v>
      </c>
      <c r="D3">
        <v>0.05</v>
      </c>
      <c r="E3">
        <f>AVERAGE(INDEX(T:T,ROW()*5-8):INDEX(T:T,ROW()*5-4))</f>
        <v>8.7600000000000011E-2</v>
      </c>
      <c r="F3">
        <v>0.05</v>
      </c>
      <c r="G3">
        <v>53.450899999999997</v>
      </c>
      <c r="T3">
        <v>0.13900000000000001</v>
      </c>
    </row>
    <row r="4" spans="1:20" x14ac:dyDescent="0.35">
      <c r="B4">
        <v>0.1</v>
      </c>
      <c r="C4">
        <v>0.92100000000000004</v>
      </c>
      <c r="D4">
        <v>0.1</v>
      </c>
      <c r="E4">
        <f>AVERAGE(INDEX(T:T,ROW()*5-8):INDEX(T:T,ROW()*5-4))</f>
        <v>8.299999999999999E-2</v>
      </c>
      <c r="F4">
        <v>0.1</v>
      </c>
      <c r="G4">
        <v>53.370800000000003</v>
      </c>
      <c r="T4">
        <v>9.4E-2</v>
      </c>
    </row>
    <row r="5" spans="1:20" x14ac:dyDescent="0.35">
      <c r="B5">
        <v>0.15</v>
      </c>
      <c r="C5">
        <v>0.97699999999999998</v>
      </c>
      <c r="D5">
        <v>0.15</v>
      </c>
      <c r="E5">
        <f>AVERAGE(INDEX(T:T,ROW()*5-8):INDEX(T:T,ROW()*5-4))</f>
        <v>8.6399999999999991E-2</v>
      </c>
      <c r="F5">
        <v>0.15</v>
      </c>
      <c r="G5">
        <v>55.534599999999998</v>
      </c>
      <c r="T5">
        <v>9.2999999999999999E-2</v>
      </c>
    </row>
    <row r="6" spans="1:20" x14ac:dyDescent="0.35">
      <c r="B6">
        <v>0.2</v>
      </c>
      <c r="C6">
        <v>1.002</v>
      </c>
      <c r="D6">
        <v>0.2</v>
      </c>
      <c r="E6">
        <f>AVERAGE(INDEX(T:T,ROW()*5-8):INDEX(T:T,ROW()*5-4))</f>
        <v>8.660000000000001E-2</v>
      </c>
      <c r="F6">
        <v>0.2</v>
      </c>
      <c r="G6">
        <v>56.414000000000001</v>
      </c>
      <c r="T6">
        <v>0.113</v>
      </c>
    </row>
    <row r="7" spans="1:20" x14ac:dyDescent="0.35">
      <c r="B7">
        <v>0.25</v>
      </c>
      <c r="C7">
        <v>1.0509999999999999</v>
      </c>
      <c r="D7">
        <v>0.25</v>
      </c>
      <c r="E7">
        <f>AVERAGE(INDEX(T:T,ROW()*5-8):INDEX(T:T,ROW()*5-4))</f>
        <v>8.8199999999999987E-2</v>
      </c>
      <c r="F7">
        <v>0.25</v>
      </c>
      <c r="G7">
        <v>58.21</v>
      </c>
      <c r="T7">
        <v>9.7000000000000003E-2</v>
      </c>
    </row>
    <row r="8" spans="1:20" x14ac:dyDescent="0.35">
      <c r="B8">
        <v>0.3</v>
      </c>
      <c r="C8">
        <v>1.105</v>
      </c>
      <c r="D8">
        <v>0.3</v>
      </c>
      <c r="E8">
        <f>AVERAGE(INDEX(T:T,ROW()*5-8):INDEX(T:T,ROW()*5-4))</f>
        <v>8.5999999999999993E-2</v>
      </c>
      <c r="F8">
        <v>0.3</v>
      </c>
      <c r="G8">
        <v>60.831000000000003</v>
      </c>
      <c r="T8">
        <v>8.2000000000000003E-2</v>
      </c>
    </row>
    <row r="9" spans="1:20" x14ac:dyDescent="0.35">
      <c r="B9">
        <v>0.35</v>
      </c>
      <c r="C9">
        <v>1.165</v>
      </c>
      <c r="D9">
        <v>0.35</v>
      </c>
      <c r="E9">
        <f>AVERAGE(INDEX(T:T,ROW()*5-8):INDEX(T:T,ROW()*5-4))</f>
        <v>8.7599999999999983E-2</v>
      </c>
      <c r="F9">
        <v>0.35</v>
      </c>
      <c r="G9">
        <v>59.826599999999999</v>
      </c>
      <c r="T9">
        <v>0.09</v>
      </c>
    </row>
    <row r="10" spans="1:20" x14ac:dyDescent="0.35">
      <c r="B10">
        <v>0.4</v>
      </c>
      <c r="C10">
        <v>1.228</v>
      </c>
      <c r="D10">
        <v>0.4</v>
      </c>
      <c r="E10">
        <f>AVERAGE(INDEX(T:T,ROW()*5-8):INDEX(T:T,ROW()*5-4))</f>
        <v>8.9199999999999988E-2</v>
      </c>
      <c r="F10">
        <v>0.4</v>
      </c>
      <c r="G10">
        <v>61.669800000000002</v>
      </c>
      <c r="T10">
        <v>8.5000000000000006E-2</v>
      </c>
    </row>
    <row r="11" spans="1:20" x14ac:dyDescent="0.35">
      <c r="B11">
        <v>0.45</v>
      </c>
      <c r="C11">
        <v>1.3049999999999999</v>
      </c>
      <c r="D11">
        <v>0.45</v>
      </c>
      <c r="E11">
        <f>AVERAGE(INDEX(T:T,ROW()*5-8):INDEX(T:T,ROW()*5-4))</f>
        <v>8.7799999999999989E-2</v>
      </c>
      <c r="F11">
        <v>0.45</v>
      </c>
      <c r="G11">
        <v>64.397300000000001</v>
      </c>
      <c r="T11">
        <v>8.4000000000000005E-2</v>
      </c>
    </row>
    <row r="12" spans="1:20" x14ac:dyDescent="0.35">
      <c r="B12">
        <v>0.5</v>
      </c>
      <c r="C12">
        <v>1.3660000000000001</v>
      </c>
      <c r="D12">
        <v>0.5</v>
      </c>
      <c r="E12">
        <f>AVERAGE(INDEX(T:T,ROW()*5-8):INDEX(T:T,ROW()*5-4))</f>
        <v>8.9199999999999988E-2</v>
      </c>
      <c r="F12">
        <v>0.5</v>
      </c>
      <c r="G12">
        <v>67.211299999999994</v>
      </c>
      <c r="T12">
        <v>8.3000000000000004E-2</v>
      </c>
    </row>
    <row r="13" spans="1:20" x14ac:dyDescent="0.35">
      <c r="B13">
        <v>0.55000000000000004</v>
      </c>
      <c r="C13">
        <v>1.4350000000000001</v>
      </c>
      <c r="D13">
        <v>0.55000000000000004</v>
      </c>
      <c r="E13">
        <f>AVERAGE(INDEX(T:T,ROW()*5-8):INDEX(T:T,ROW()*5-4))</f>
        <v>9.0599999999999986E-2</v>
      </c>
      <c r="F13">
        <v>0.55000000000000004</v>
      </c>
      <c r="G13">
        <v>70.809700000000007</v>
      </c>
      <c r="T13">
        <v>8.5000000000000006E-2</v>
      </c>
    </row>
    <row r="14" spans="1:20" x14ac:dyDescent="0.35">
      <c r="B14">
        <v>0.6</v>
      </c>
      <c r="C14">
        <v>1.5029999999999999</v>
      </c>
      <c r="D14">
        <v>0.6</v>
      </c>
      <c r="E14">
        <f>AVERAGE(INDEX(T:T,ROW()*5-8):INDEX(T:T,ROW()*5-4))</f>
        <v>9.0399999999999994E-2</v>
      </c>
      <c r="F14">
        <v>0.6</v>
      </c>
      <c r="G14">
        <v>73.207599999999999</v>
      </c>
      <c r="T14">
        <v>8.2000000000000003E-2</v>
      </c>
    </row>
    <row r="15" spans="1:20" x14ac:dyDescent="0.35">
      <c r="B15">
        <v>0.65</v>
      </c>
      <c r="C15">
        <v>1.587</v>
      </c>
      <c r="D15">
        <v>0.65</v>
      </c>
      <c r="E15">
        <f>AVERAGE(INDEX(T:T,ROW()*5-8):INDEX(T:T,ROW()*5-4))</f>
        <v>9.2399999999999996E-2</v>
      </c>
      <c r="F15">
        <v>0.65</v>
      </c>
      <c r="G15">
        <v>76.465100000000007</v>
      </c>
      <c r="T15">
        <v>8.5999999999999993E-2</v>
      </c>
    </row>
    <row r="16" spans="1:20" x14ac:dyDescent="0.35">
      <c r="B16">
        <v>0.7</v>
      </c>
      <c r="C16">
        <v>1.6220000000000001</v>
      </c>
      <c r="D16">
        <v>0.7</v>
      </c>
      <c r="E16">
        <f>AVERAGE(INDEX(T:T,ROW()*5-8):INDEX(T:T,ROW()*5-4))</f>
        <v>9.1599999999999987E-2</v>
      </c>
      <c r="F16">
        <v>0.7</v>
      </c>
      <c r="G16">
        <v>79.443399999999997</v>
      </c>
      <c r="T16">
        <v>7.9000000000000001E-2</v>
      </c>
    </row>
    <row r="17" spans="2:20" x14ac:dyDescent="0.35">
      <c r="B17">
        <v>0.75</v>
      </c>
      <c r="C17">
        <v>1.7</v>
      </c>
      <c r="D17">
        <v>0.75</v>
      </c>
      <c r="E17">
        <f>AVERAGE(INDEX(T:T,ROW()*5-8):INDEX(T:T,ROW()*5-4))</f>
        <v>9.0399999999999994E-2</v>
      </c>
      <c r="F17">
        <v>0.75</v>
      </c>
      <c r="G17">
        <v>82.749200000000002</v>
      </c>
      <c r="T17">
        <v>8.4000000000000005E-2</v>
      </c>
    </row>
    <row r="18" spans="2:20" x14ac:dyDescent="0.35">
      <c r="B18">
        <v>0.8</v>
      </c>
      <c r="C18">
        <v>1.772</v>
      </c>
      <c r="D18">
        <v>0.8</v>
      </c>
      <c r="E18">
        <f>AVERAGE(INDEX(T:T,ROW()*5-8):INDEX(T:T,ROW()*5-4))</f>
        <v>9.1799999999999993E-2</v>
      </c>
      <c r="F18">
        <v>0.8</v>
      </c>
      <c r="G18">
        <v>86.240499999999997</v>
      </c>
      <c r="T18">
        <v>8.5999999999999993E-2</v>
      </c>
    </row>
    <row r="19" spans="2:20" x14ac:dyDescent="0.35">
      <c r="B19">
        <v>0.85</v>
      </c>
      <c r="C19">
        <v>1.839</v>
      </c>
      <c r="D19">
        <v>0.85</v>
      </c>
      <c r="E19">
        <f>AVERAGE(INDEX(T:T,ROW()*5-8):INDEX(T:T,ROW()*5-4))</f>
        <v>9.1999999999999998E-2</v>
      </c>
      <c r="F19">
        <v>0.85</v>
      </c>
      <c r="G19">
        <v>90.632199999999997</v>
      </c>
      <c r="T19">
        <v>8.5999999999999993E-2</v>
      </c>
    </row>
    <row r="20" spans="2:20" x14ac:dyDescent="0.35">
      <c r="B20">
        <v>0.9</v>
      </c>
      <c r="C20">
        <v>1.929</v>
      </c>
      <c r="D20">
        <v>0.9</v>
      </c>
      <c r="E20">
        <f>AVERAGE(INDEX(T:T,ROW()*5-8):INDEX(T:T,ROW()*5-4))</f>
        <v>9.3799999999999994E-2</v>
      </c>
      <c r="F20">
        <v>0.9</v>
      </c>
      <c r="G20">
        <v>95.146600000000007</v>
      </c>
      <c r="T20">
        <v>8.6999999999999994E-2</v>
      </c>
    </row>
    <row r="21" spans="2:20" x14ac:dyDescent="0.35">
      <c r="B21">
        <v>0.95</v>
      </c>
      <c r="C21">
        <v>2.008</v>
      </c>
      <c r="D21">
        <v>0.95</v>
      </c>
      <c r="E21">
        <f>AVERAGE(INDEX(T:T,ROW()*5-8):INDEX(T:T,ROW()*5-4))</f>
        <v>9.4199999999999992E-2</v>
      </c>
      <c r="F21">
        <v>0.95</v>
      </c>
      <c r="G21">
        <v>99.825500000000005</v>
      </c>
      <c r="T21">
        <v>8.8999999999999996E-2</v>
      </c>
    </row>
    <row r="22" spans="2:20" x14ac:dyDescent="0.35">
      <c r="B22">
        <v>1</v>
      </c>
      <c r="C22">
        <v>2.08</v>
      </c>
      <c r="D22">
        <v>1</v>
      </c>
      <c r="E22">
        <f>AVERAGE(INDEX(T:T,ROW()*5-8):INDEX(T:T,ROW()*5-4))</f>
        <v>9.2999999999999999E-2</v>
      </c>
      <c r="F22">
        <v>1</v>
      </c>
      <c r="G22">
        <v>102.52889999999999</v>
      </c>
      <c r="T22">
        <v>8.7999999999999995E-2</v>
      </c>
    </row>
    <row r="23" spans="2:20" x14ac:dyDescent="0.35">
      <c r="T23">
        <v>8.7999999999999995E-2</v>
      </c>
    </row>
    <row r="24" spans="2:20" x14ac:dyDescent="0.35">
      <c r="T24">
        <v>8.7999999999999995E-2</v>
      </c>
    </row>
    <row r="25" spans="2:20" x14ac:dyDescent="0.35">
      <c r="T25">
        <v>8.3000000000000004E-2</v>
      </c>
    </row>
    <row r="26" spans="2:20" x14ac:dyDescent="0.35">
      <c r="T26">
        <v>8.5999999999999993E-2</v>
      </c>
    </row>
    <row r="27" spans="2:20" x14ac:dyDescent="0.35">
      <c r="T27">
        <v>8.5000000000000006E-2</v>
      </c>
    </row>
    <row r="28" spans="2:20" x14ac:dyDescent="0.35">
      <c r="T28">
        <v>8.7999999999999995E-2</v>
      </c>
    </row>
    <row r="29" spans="2:20" x14ac:dyDescent="0.35">
      <c r="T29">
        <v>9.0999999999999998E-2</v>
      </c>
    </row>
    <row r="30" spans="2:20" x14ac:dyDescent="0.35">
      <c r="T30">
        <v>8.7999999999999995E-2</v>
      </c>
    </row>
    <row r="31" spans="2:20" x14ac:dyDescent="0.35">
      <c r="T31">
        <v>8.8999999999999996E-2</v>
      </c>
    </row>
    <row r="32" spans="2:20" x14ac:dyDescent="0.35">
      <c r="T32">
        <v>8.5000000000000006E-2</v>
      </c>
    </row>
    <row r="33" spans="20:20" x14ac:dyDescent="0.35">
      <c r="T33">
        <v>8.5999999999999993E-2</v>
      </c>
    </row>
    <row r="34" spans="20:20" x14ac:dyDescent="0.35">
      <c r="T34">
        <v>8.6999999999999994E-2</v>
      </c>
    </row>
    <row r="35" spans="20:20" x14ac:dyDescent="0.35">
      <c r="T35">
        <v>8.5999999999999993E-2</v>
      </c>
    </row>
    <row r="36" spans="20:20" x14ac:dyDescent="0.35">
      <c r="T36">
        <v>8.5999999999999993E-2</v>
      </c>
    </row>
    <row r="37" spans="20:20" x14ac:dyDescent="0.35">
      <c r="T37">
        <v>8.6999999999999994E-2</v>
      </c>
    </row>
    <row r="38" spans="20:20" x14ac:dyDescent="0.35">
      <c r="T38">
        <v>8.7999999999999995E-2</v>
      </c>
    </row>
    <row r="39" spans="20:20" x14ac:dyDescent="0.35">
      <c r="T39">
        <v>8.6999999999999994E-2</v>
      </c>
    </row>
    <row r="40" spans="20:20" x14ac:dyDescent="0.35">
      <c r="T40">
        <v>8.8999999999999996E-2</v>
      </c>
    </row>
    <row r="41" spans="20:20" x14ac:dyDescent="0.35">
      <c r="T41">
        <v>8.6999999999999994E-2</v>
      </c>
    </row>
    <row r="42" spans="20:20" x14ac:dyDescent="0.35">
      <c r="T42">
        <v>8.7999999999999995E-2</v>
      </c>
    </row>
    <row r="43" spans="20:20" x14ac:dyDescent="0.35">
      <c r="T43">
        <v>8.8999999999999996E-2</v>
      </c>
    </row>
    <row r="44" spans="20:20" x14ac:dyDescent="0.35">
      <c r="T44">
        <v>0.09</v>
      </c>
    </row>
    <row r="45" spans="20:20" x14ac:dyDescent="0.35">
      <c r="T45">
        <v>8.7999999999999995E-2</v>
      </c>
    </row>
    <row r="46" spans="20:20" x14ac:dyDescent="0.35">
      <c r="T46">
        <v>9.0999999999999998E-2</v>
      </c>
    </row>
    <row r="47" spans="20:20" x14ac:dyDescent="0.35">
      <c r="T47">
        <v>8.8999999999999996E-2</v>
      </c>
    </row>
    <row r="48" spans="20:20" x14ac:dyDescent="0.35">
      <c r="T48">
        <v>8.5999999999999993E-2</v>
      </c>
    </row>
    <row r="49" spans="20:20" x14ac:dyDescent="0.35">
      <c r="T49">
        <v>8.7999999999999995E-2</v>
      </c>
    </row>
    <row r="50" spans="20:20" x14ac:dyDescent="0.35">
      <c r="T50">
        <v>8.7999999999999995E-2</v>
      </c>
    </row>
    <row r="51" spans="20:20" x14ac:dyDescent="0.35">
      <c r="T51">
        <v>8.7999999999999995E-2</v>
      </c>
    </row>
    <row r="52" spans="20:20" x14ac:dyDescent="0.35">
      <c r="T52">
        <v>8.7999999999999995E-2</v>
      </c>
    </row>
    <row r="53" spans="20:20" x14ac:dyDescent="0.35">
      <c r="T53">
        <v>0.09</v>
      </c>
    </row>
    <row r="54" spans="20:20" x14ac:dyDescent="0.35">
      <c r="T54">
        <v>8.8999999999999996E-2</v>
      </c>
    </row>
    <row r="55" spans="20:20" x14ac:dyDescent="0.35">
      <c r="T55">
        <v>8.8999999999999996E-2</v>
      </c>
    </row>
    <row r="56" spans="20:20" x14ac:dyDescent="0.35">
      <c r="T56">
        <v>0.09</v>
      </c>
    </row>
    <row r="57" spans="20:20" x14ac:dyDescent="0.35">
      <c r="T57">
        <v>8.8999999999999996E-2</v>
      </c>
    </row>
    <row r="58" spans="20:20" x14ac:dyDescent="0.35">
      <c r="T58">
        <v>9.1999999999999998E-2</v>
      </c>
    </row>
    <row r="59" spans="20:20" x14ac:dyDescent="0.35">
      <c r="T59">
        <v>8.8999999999999996E-2</v>
      </c>
    </row>
    <row r="60" spans="20:20" x14ac:dyDescent="0.35">
      <c r="T60">
        <v>9.1999999999999998E-2</v>
      </c>
    </row>
    <row r="61" spans="20:20" x14ac:dyDescent="0.35">
      <c r="T61">
        <v>9.0999999999999998E-2</v>
      </c>
    </row>
    <row r="62" spans="20:20" x14ac:dyDescent="0.35">
      <c r="T62">
        <v>8.7999999999999995E-2</v>
      </c>
    </row>
    <row r="63" spans="20:20" x14ac:dyDescent="0.35">
      <c r="T63">
        <v>8.7999999999999995E-2</v>
      </c>
    </row>
    <row r="64" spans="20:20" x14ac:dyDescent="0.35">
      <c r="T64">
        <v>9.2999999999999999E-2</v>
      </c>
    </row>
    <row r="65" spans="20:20" x14ac:dyDescent="0.35">
      <c r="T65">
        <v>9.0999999999999998E-2</v>
      </c>
    </row>
    <row r="66" spans="20:20" x14ac:dyDescent="0.35">
      <c r="T66">
        <v>9.1999999999999998E-2</v>
      </c>
    </row>
    <row r="67" spans="20:20" x14ac:dyDescent="0.35">
      <c r="T67">
        <v>8.7999999999999995E-2</v>
      </c>
    </row>
    <row r="68" spans="20:20" x14ac:dyDescent="0.35">
      <c r="T68">
        <v>8.8999999999999996E-2</v>
      </c>
    </row>
    <row r="69" spans="20:20" x14ac:dyDescent="0.35">
      <c r="T69">
        <v>0.105</v>
      </c>
    </row>
    <row r="70" spans="20:20" x14ac:dyDescent="0.35">
      <c r="T70">
        <v>9.0999999999999998E-2</v>
      </c>
    </row>
    <row r="71" spans="20:20" x14ac:dyDescent="0.35">
      <c r="T71">
        <v>8.8999999999999996E-2</v>
      </c>
    </row>
    <row r="72" spans="20:20" x14ac:dyDescent="0.35">
      <c r="T72">
        <v>9.2999999999999999E-2</v>
      </c>
    </row>
    <row r="73" spans="20:20" x14ac:dyDescent="0.35">
      <c r="T73">
        <v>9.1999999999999998E-2</v>
      </c>
    </row>
    <row r="74" spans="20:20" x14ac:dyDescent="0.35">
      <c r="T74">
        <v>9.1999999999999998E-2</v>
      </c>
    </row>
    <row r="75" spans="20:20" x14ac:dyDescent="0.35">
      <c r="T75">
        <v>9.0999999999999998E-2</v>
      </c>
    </row>
    <row r="76" spans="20:20" x14ac:dyDescent="0.35">
      <c r="T76">
        <v>0.09</v>
      </c>
    </row>
    <row r="77" spans="20:20" x14ac:dyDescent="0.35">
      <c r="T77">
        <v>8.7999999999999995E-2</v>
      </c>
    </row>
    <row r="78" spans="20:20" x14ac:dyDescent="0.35">
      <c r="T78">
        <v>8.8999999999999996E-2</v>
      </c>
    </row>
    <row r="79" spans="20:20" x14ac:dyDescent="0.35">
      <c r="T79">
        <v>0.09</v>
      </c>
    </row>
    <row r="80" spans="20:20" x14ac:dyDescent="0.35">
      <c r="T80">
        <v>9.1999999999999998E-2</v>
      </c>
    </row>
    <row r="81" spans="20:20" x14ac:dyDescent="0.35">
      <c r="T81">
        <v>9.2999999999999999E-2</v>
      </c>
    </row>
    <row r="82" spans="20:20" x14ac:dyDescent="0.35">
      <c r="T82">
        <v>0.09</v>
      </c>
    </row>
    <row r="83" spans="20:20" x14ac:dyDescent="0.35">
      <c r="T83">
        <v>9.0999999999999998E-2</v>
      </c>
    </row>
    <row r="84" spans="20:20" x14ac:dyDescent="0.35">
      <c r="T84">
        <v>9.1999999999999998E-2</v>
      </c>
    </row>
    <row r="85" spans="20:20" x14ac:dyDescent="0.35">
      <c r="T85">
        <v>9.1999999999999998E-2</v>
      </c>
    </row>
    <row r="86" spans="20:20" x14ac:dyDescent="0.35">
      <c r="T86">
        <v>9.4E-2</v>
      </c>
    </row>
    <row r="87" spans="20:20" x14ac:dyDescent="0.35">
      <c r="T87">
        <v>9.1999999999999998E-2</v>
      </c>
    </row>
    <row r="88" spans="20:20" x14ac:dyDescent="0.35">
      <c r="T88">
        <v>9.0999999999999998E-2</v>
      </c>
    </row>
    <row r="89" spans="20:20" x14ac:dyDescent="0.35">
      <c r="T89">
        <v>9.2999999999999999E-2</v>
      </c>
    </row>
    <row r="90" spans="20:20" x14ac:dyDescent="0.35">
      <c r="T90">
        <v>9.0999999999999998E-2</v>
      </c>
    </row>
    <row r="91" spans="20:20" x14ac:dyDescent="0.35">
      <c r="T91">
        <v>9.2999999999999999E-2</v>
      </c>
    </row>
    <row r="92" spans="20:20" x14ac:dyDescent="0.35">
      <c r="T92">
        <v>9.0999999999999998E-2</v>
      </c>
    </row>
    <row r="93" spans="20:20" x14ac:dyDescent="0.35">
      <c r="T93">
        <v>9.1999999999999998E-2</v>
      </c>
    </row>
    <row r="94" spans="20:20" x14ac:dyDescent="0.35">
      <c r="T94">
        <v>9.4E-2</v>
      </c>
    </row>
    <row r="95" spans="20:20" x14ac:dyDescent="0.35">
      <c r="T95">
        <v>9.7000000000000003E-2</v>
      </c>
    </row>
    <row r="96" spans="20:20" x14ac:dyDescent="0.35">
      <c r="T96">
        <v>9.5000000000000001E-2</v>
      </c>
    </row>
    <row r="97" spans="20:20" x14ac:dyDescent="0.35">
      <c r="T97">
        <v>9.2999999999999999E-2</v>
      </c>
    </row>
    <row r="98" spans="20:20" x14ac:dyDescent="0.35">
      <c r="T98">
        <v>9.4E-2</v>
      </c>
    </row>
    <row r="99" spans="20:20" x14ac:dyDescent="0.35">
      <c r="T99">
        <v>9.5000000000000001E-2</v>
      </c>
    </row>
    <row r="100" spans="20:20" x14ac:dyDescent="0.35">
      <c r="T100">
        <v>9.5000000000000001E-2</v>
      </c>
    </row>
    <row r="101" spans="20:20" x14ac:dyDescent="0.35">
      <c r="T101">
        <v>9.4E-2</v>
      </c>
    </row>
    <row r="102" spans="20:20" x14ac:dyDescent="0.35">
      <c r="T102">
        <v>9.1999999999999998E-2</v>
      </c>
    </row>
    <row r="103" spans="20:20" x14ac:dyDescent="0.35">
      <c r="T103">
        <v>9.2999999999999999E-2</v>
      </c>
    </row>
    <row r="104" spans="20:20" x14ac:dyDescent="0.35">
      <c r="T104">
        <v>9.5000000000000001E-2</v>
      </c>
    </row>
    <row r="105" spans="20:20" x14ac:dyDescent="0.35">
      <c r="T105">
        <v>9.2999999999999999E-2</v>
      </c>
    </row>
    <row r="106" spans="20:20" x14ac:dyDescent="0.35">
      <c r="T106">
        <v>9.1999999999999998E-2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Bradshaw, Jacob</dc:creator>
  <cp:lastModifiedBy>Bradshaw, Jacob</cp:lastModifiedBy>
  <dcterms:created xsi:type="dcterms:W3CDTF">2025-10-31T20:02:14Z</dcterms:created>
  <dcterms:modified xsi:type="dcterms:W3CDTF">2025-10-31T22:41:41Z</dcterms:modified>
</cp:coreProperties>
</file>